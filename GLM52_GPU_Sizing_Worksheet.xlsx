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izing" sheetId="3" state="visible" r:id="rId5"/>
    <sheet name="Scenarios" sheetId="4" state="visible" r:id="rId6"/>
    <sheet name="Throughp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<sst xmlns="http://schemas.openxmlformats.org/spreadsheetml/2006/main" count="140" uniqueCount="121">
  <si>
    <t xml:space="preserve">GLM-5.2 GPU Sizing Worksheet</t>
  </si>
  <si>
    <t xml:space="preserve">Purpose: estimate the GPU memory and card count needed to serve GLM-5.2 (744B MoE) on the SEPARATE GPU inference plane</t>
  </si>
  <si>
    <t xml:space="preserve">that the CPU-only Supermicro blades call over the network (see companion architecture docs).</t>
  </si>
  <si>
    <t xml:space="preserve">HOW TO USE:</t>
  </si>
  <si>
    <t xml:space="preserve">  1. Edit ONLY the yellow-filled, blue-text cells on the 'Inputs' sheet.</t>
  </si>
  <si>
    <t xml:space="preserve">  2. The 'Sizing', 'Scenarios' and 'Throughput' sheets recalculate automatically.</t>
  </si>
  <si>
    <t xml:space="preserve">  3. Replace every [ASSUMPTION] with a vendor-confirmed value before procurement (GLM-5.2 arch details are provisional).</t>
  </si>
  <si>
    <t xml:space="preserve">COLOR LEGEND:</t>
  </si>
  <si>
    <t xml:space="preserve">  Yellow fill + blue text = you edit these (inputs / assumptions).</t>
  </si>
  <si>
    <t xml:space="preserve">  Black text            = formulas — do not overwrite.</t>
  </si>
  <si>
    <t xml:space="preserve">  Header (dark blue)    = section titles.</t>
  </si>
  <si>
    <t xml:space="preserve">EVIDENCE TAGS:  [DOC]=documented  [EST]=estimate, validate by benchmark  [ASSUMPTION]=assumed pending confirmation.</t>
  </si>
  <si>
    <t xml:space="preserve">KEY CAVEATS:</t>
  </si>
  <si>
    <t xml:space="preserve">  * MoE: ~40B params activate per token but ALL 744B weights must be resident in VRAM.</t>
  </si>
  <si>
    <t xml:space="preserve">  * KV-cache grows with context x concurrency and can rival weight memory at long context (1M ctx is a separate exercise).</t>
  </si>
  <si>
    <t xml:space="preserve">  * Throughput figures are memory-bandwidth-bound ESTIMATES — confirm with a Phase-7 benchmark on the pinned engine.</t>
  </si>
  <si>
    <t xml:space="preserve">  * All numbers here are provisional until GLM-5.2 layer geometry is confirmed against your pinned vLLM/SGLang build.</t>
  </si>
  <si>
    <t xml:space="preserve">Parameter</t>
  </si>
  <si>
    <t xml:space="preserve">Value</t>
  </si>
  <si>
    <t xml:space="preserve">Unit</t>
  </si>
  <si>
    <t xml:space="preserve">Notes / evidence</t>
  </si>
  <si>
    <t xml:space="preserve">MODEL</t>
  </si>
  <si>
    <t xml:space="preserve">GLM-5.2 (Zhipu/Z.ai)</t>
  </si>
  <si>
    <t xml:space="preserve">Total parameters</t>
  </si>
  <si>
    <t xml:space="preserve">billions</t>
  </si>
  <si>
    <t xml:space="preserve">[DOC] ~744B MoE</t>
  </si>
  <si>
    <t xml:space="preserve">Active parameters per token</t>
  </si>
  <si>
    <t xml:space="preserve">[DOC] ~40B active (MoE)</t>
  </si>
  <si>
    <t xml:space="preserve">Number of transformer layers</t>
  </si>
  <si>
    <t xml:space="preserve">count</t>
  </si>
  <si>
    <t xml:space="preserve">[ASSUMPTION] confirm from model config.json</t>
  </si>
  <si>
    <t xml:space="preserve">KV heads (GQA)</t>
  </si>
  <si>
    <t xml:space="preserve">[ASSUMPTION] confirm; GQA sharply reduces KV size</t>
  </si>
  <si>
    <t xml:space="preserve">Head dimension</t>
  </si>
  <si>
    <t xml:space="preserve">[ASSUMPTION] confirm from config</t>
  </si>
  <si>
    <t xml:space="preserve">PRECISION / QUANT</t>
  </si>
  <si>
    <t xml:space="preserve">pick a serving precision below on Scenarios</t>
  </si>
  <si>
    <t xml:space="preserve">Bytes per weight param (serving)</t>
  </si>
  <si>
    <t xml:space="preserve">bytes</t>
  </si>
  <si>
    <t xml:space="preserve">[DOC] FP8=1.0, INT4/Q4=0.5, BF16=2.0</t>
  </si>
  <si>
    <t xml:space="preserve">Weight overhead factor</t>
  </si>
  <si>
    <t xml:space="preserve">x</t>
  </si>
  <si>
    <t xml:space="preserve">[EST] embeddings/router/higher-precision layers; Q4 real ~460-480GB</t>
  </si>
  <si>
    <t xml:space="preserve">KV-cache bytes per element</t>
  </si>
  <si>
    <t xml:space="preserve">[EST] FP16 KV=2; KV-quant q8=1</t>
  </si>
  <si>
    <t xml:space="preserve">SERVING TARGET</t>
  </si>
  <si>
    <t xml:space="preserve">Context length (max_model_len)</t>
  </si>
  <si>
    <t xml:space="preserve">tokens</t>
  </si>
  <si>
    <t xml:space="preserve">[ASSUMPTION] set to your SLO; 1M ctx is separate</t>
  </si>
  <si>
    <t xml:space="preserve">Concurrent sequences (peak)</t>
  </si>
  <si>
    <t xml:space="preserve">[ASSUMPTION] target concurrency</t>
  </si>
  <si>
    <t xml:space="preserve">Runtime/activation overhead</t>
  </si>
  <si>
    <t xml:space="preserve">GB</t>
  </si>
  <si>
    <t xml:space="preserve">[EST] engine + CUDA + activation buffers</t>
  </si>
  <si>
    <t xml:space="preserve">GPU HARDWARE</t>
  </si>
  <si>
    <t xml:space="preserve">VRAM per GPU</t>
  </si>
  <si>
    <t xml:space="preserve">[ASSUMPTION] e.g. 80/94/141 GB class</t>
  </si>
  <si>
    <t xml:space="preserve">Usable VRAM fraction</t>
  </si>
  <si>
    <t xml:space="preserve">fraction</t>
  </si>
  <si>
    <t xml:space="preserve">[EST] reserve ~10% for fragmentation</t>
  </si>
  <si>
    <t xml:space="preserve">Memory bandwidth per GPU</t>
  </si>
  <si>
    <t xml:space="preserve">GB/s</t>
  </si>
  <si>
    <t xml:space="preserve">[ASSUMPTION] e.g. HBM3-class ~3.35 TB/s</t>
  </si>
  <si>
    <t xml:space="preserve">GPU compute efficiency (decode)</t>
  </si>
  <si>
    <t xml:space="preserve">[EST] realized vs peak BW for decode</t>
  </si>
  <si>
    <t xml:space="preserve">Computed quantity</t>
  </si>
  <si>
    <t xml:space="preserve">Formula basis</t>
  </si>
  <si>
    <t xml:space="preserve">Weight memory</t>
  </si>
  <si>
    <t xml:space="preserve">params(B) x bytes/param x overhead</t>
  </si>
  <si>
    <t xml:space="preserve">KV-cache per token</t>
  </si>
  <si>
    <t xml:space="preserve">GB/token</t>
  </si>
  <si>
    <t xml:space="preserve">2 x layers x kv_heads x head_dim x bytes / 1e9</t>
  </si>
  <si>
    <t xml:space="preserve">KV-cache per sequence</t>
  </si>
  <si>
    <t xml:space="preserve">GB/seq</t>
  </si>
  <si>
    <t xml:space="preserve">per-token x context</t>
  </si>
  <si>
    <t xml:space="preserve">KV-cache total (peak concurrency)</t>
  </si>
  <si>
    <t xml:space="preserve">per-seq x concurrent sequences</t>
  </si>
  <si>
    <t xml:space="preserve">engine+CUDA+buffers</t>
  </si>
  <si>
    <t xml:space="preserve">TOTAL VRAM required</t>
  </si>
  <si>
    <t xml:space="preserve">weights + KV total + overhead</t>
  </si>
  <si>
    <t xml:space="preserve">Usable VRAM per GPU</t>
  </si>
  <si>
    <t xml:space="preserve">VRAM x usable fraction</t>
  </si>
  <si>
    <t xml:space="preserve">GPUs required (memory-bound)</t>
  </si>
  <si>
    <t xml:space="preserve">GPUs</t>
  </si>
  <si>
    <t xml:space="preserve">ceil(total / usable per GPU)</t>
  </si>
  <si>
    <t xml:space="preserve">Recommended tensor-parallel size</t>
  </si>
  <si>
    <t xml:space="preserve">TP</t>
  </si>
  <si>
    <t xml:space="preserve">TP within one node (&lt;=8); else multi-node</t>
  </si>
  <si>
    <t xml:space="preserve">Nodes required (8 GPU/node)</t>
  </si>
  <si>
    <t xml:space="preserve">nodes</t>
  </si>
  <si>
    <t xml:space="preserve">ceil(GPUs / 8)</t>
  </si>
  <si>
    <t xml:space="preserve">Note: integer GPU/KV rows use ROUNDUP; recompute after changing any Input.</t>
  </si>
  <si>
    <t xml:space="preserve">Precision scenarios (weights only; add KV + overhead from Sizing sheet)</t>
  </si>
  <si>
    <t xml:space="preserve">Scenario</t>
  </si>
  <si>
    <t xml:space="preserve">Bytes/param</t>
  </si>
  <si>
    <t xml:space="preserve">Overhead x</t>
  </si>
  <si>
    <t xml:space="preserve">Weight GB</t>
  </si>
  <si>
    <t xml:space="preserve">GPUs @80GB*0.9</t>
  </si>
  <si>
    <t xml:space="preserve">GPUs @141GB*0.9</t>
  </si>
  <si>
    <t xml:space="preserve">BF16 (full)</t>
  </si>
  <si>
    <t xml:space="preserve">FP8</t>
  </si>
  <si>
    <t xml:space="preserve">INT4 / Q4</t>
  </si>
  <si>
    <t xml:space="preserve">Dynamic 2-bit (quality loss)</t>
  </si>
  <si>
    <t xml:space="preserve">Weight GB only; total VRAM must add KV-cache (Sizing C5) + overhead (Sizing C6).</t>
  </si>
  <si>
    <t xml:space="preserve">Q4 ~460-480GB and FP8 ~740-800GB reproduce published GLM-5.2 figures [DOC/EST].</t>
  </si>
  <si>
    <t xml:space="preserve">Quantity</t>
  </si>
  <si>
    <t xml:space="preserve">Basis / caveat</t>
  </si>
  <si>
    <t xml:space="preserve">Bytes read per token (MoE, active params)</t>
  </si>
  <si>
    <t xml:space="preserve">active params x bytes/param (MoE reads active experts)</t>
  </si>
  <si>
    <t xml:space="preserve">Aggregate effective bandwidth</t>
  </si>
  <si>
    <t xml:space="preserve">BW/GPU x GPUs x realized-efficiency [EST]</t>
  </si>
  <si>
    <t xml:space="preserve">Decode throughput ceiling (all streams)</t>
  </si>
  <si>
    <t xml:space="preserve">tokens/s</t>
  </si>
  <si>
    <t xml:space="preserve">aggregate BW / bytes-per-token [EST]</t>
  </si>
  <si>
    <t xml:space="preserve">Per-stream decode throughput</t>
  </si>
  <si>
    <t xml:space="preserve">tokens/s/stream</t>
  </si>
  <si>
    <t xml:space="preserve">aggregate / concurrency [EST]</t>
  </si>
  <si>
    <t xml:space="preserve">Inter-token latency (per stream)</t>
  </si>
  <si>
    <t xml:space="preserve">ms/token</t>
  </si>
  <si>
    <t xml:space="preserve">1000 / per-stream tok/s [EST]</t>
  </si>
  <si>
    <t xml:space="preserve">ESTIMATES ONLY. Real throughput depends on batching, attention over context, engine, and GPU. Benchmark in Phase 7.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</si>
</sst>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3</v>
      </c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7</v>
      </c>
    </row>
    <row r="14" customFormat="false" ht="15" hidden="false" customHeight="false" outlineLevel="0" collapsed="false">
      <c r="B14" s="2" t="s">
        <v>8</v>
      </c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3" t="s">
        <v>12</v>
      </c>
    </row>
    <row r="21" customFormat="false" ht="15" hidden="false" customHeight="false" outlineLevel="0" collapsed="false">
      <c r="B21" s="2" t="s">
        <v>13</v>
      </c>
    </row>
    <row r="22" customFormat="false" ht="15" hidden="false" customHeight="false" outlineLevel="0" collapsed="false">
      <c r="B22" s="2" t="s">
        <v>14</v>
      </c>
    </row>
    <row r="23" customFormat="false" ht="15" hidden="false" customHeight="false" outlineLevel="0" collapsed="false">
      <c r="B23" s="2" t="s">
        <v>15</v>
      </c>
    </row>
    <row r="24" customFormat="false" ht="15" hidden="false" customHeight="false" outlineLevel="0" collapsed="false">
      <c r="B24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4"/>
  </cols>
  <sheetData>
    <row r="1" customFormat="false" ht="15" hidden="false" customHeight="false" outlineLevel="0" collapsed="false">
      <c r="B1" s="4" t="s">
        <v>17</v>
      </c>
      <c r="C1" s="4" t="s">
        <v>18</v>
      </c>
      <c r="D1" s="4" t="s">
        <v>19</v>
      </c>
      <c r="E1" s="4" t="s">
        <v>20</v>
      </c>
    </row>
    <row r="2" customFormat="false" ht="15" hidden="false" customHeight="false" outlineLevel="0" collapsed="false">
      <c r="B2" s="5" t="s">
        <v>21</v>
      </c>
      <c r="C2" s="6"/>
      <c r="D2" s="6"/>
      <c r="E2" s="6" t="s">
        <v>22</v>
      </c>
    </row>
    <row r="3" customFormat="false" ht="15" hidden="false" customHeight="false" outlineLevel="0" collapsed="false">
      <c r="B3" s="7" t="s">
        <v>23</v>
      </c>
      <c r="C3" s="8" t="n">
        <v>744</v>
      </c>
      <c r="D3" s="7" t="s">
        <v>24</v>
      </c>
      <c r="E3" s="9" t="s">
        <v>25</v>
      </c>
    </row>
    <row r="4" customFormat="false" ht="15" hidden="false" customHeight="false" outlineLevel="0" collapsed="false">
      <c r="B4" s="7" t="s">
        <v>26</v>
      </c>
      <c r="C4" s="8" t="n">
        <v>40</v>
      </c>
      <c r="D4" s="7" t="s">
        <v>24</v>
      </c>
      <c r="E4" s="9" t="s">
        <v>27</v>
      </c>
    </row>
    <row r="5" customFormat="false" ht="15" hidden="false" customHeight="false" outlineLevel="0" collapsed="false">
      <c r="B5" s="7" t="s">
        <v>28</v>
      </c>
      <c r="C5" s="8" t="n">
        <v>92</v>
      </c>
      <c r="D5" s="7" t="s">
        <v>29</v>
      </c>
      <c r="E5" s="9" t="s">
        <v>30</v>
      </c>
    </row>
    <row r="6" customFormat="false" ht="15" hidden="false" customHeight="false" outlineLevel="0" collapsed="false">
      <c r="B6" s="7" t="s">
        <v>31</v>
      </c>
      <c r="C6" s="8" t="n">
        <v>8</v>
      </c>
      <c r="D6" s="7" t="s">
        <v>29</v>
      </c>
      <c r="E6" s="9" t="s">
        <v>32</v>
      </c>
    </row>
    <row r="7" customFormat="false" ht="15" hidden="false" customHeight="false" outlineLevel="0" collapsed="false">
      <c r="B7" s="7" t="s">
        <v>33</v>
      </c>
      <c r="C7" s="8" t="n">
        <v>128</v>
      </c>
      <c r="D7" s="7" t="s">
        <v>29</v>
      </c>
      <c r="E7" s="9" t="s">
        <v>34</v>
      </c>
    </row>
    <row r="8" customFormat="false" ht="15" hidden="false" customHeight="false" outlineLevel="0" collapsed="false">
      <c r="B8" s="5" t="s">
        <v>35</v>
      </c>
      <c r="C8" s="6"/>
      <c r="D8" s="6"/>
      <c r="E8" s="6" t="s">
        <v>36</v>
      </c>
    </row>
    <row r="9" customFormat="false" ht="15" hidden="false" customHeight="false" outlineLevel="0" collapsed="false">
      <c r="B9" s="7" t="s">
        <v>37</v>
      </c>
      <c r="C9" s="8" t="n">
        <v>1</v>
      </c>
      <c r="D9" s="7" t="s">
        <v>38</v>
      </c>
      <c r="E9" s="9" t="s">
        <v>39</v>
      </c>
    </row>
    <row r="10" customFormat="false" ht="15" hidden="false" customHeight="false" outlineLevel="0" collapsed="false">
      <c r="B10" s="7" t="s">
        <v>40</v>
      </c>
      <c r="C10" s="8" t="n">
        <v>1.2</v>
      </c>
      <c r="D10" s="7" t="s">
        <v>41</v>
      </c>
      <c r="E10" s="9" t="s">
        <v>42</v>
      </c>
    </row>
    <row r="11" customFormat="false" ht="15" hidden="false" customHeight="false" outlineLevel="0" collapsed="false">
      <c r="B11" s="7" t="s">
        <v>43</v>
      </c>
      <c r="C11" s="8" t="n">
        <v>2</v>
      </c>
      <c r="D11" s="7" t="s">
        <v>38</v>
      </c>
      <c r="E11" s="9" t="s">
        <v>44</v>
      </c>
    </row>
    <row r="12" customFormat="false" ht="15" hidden="false" customHeight="false" outlineLevel="0" collapsed="false">
      <c r="B12" s="5" t="s">
        <v>45</v>
      </c>
      <c r="C12" s="6"/>
      <c r="D12" s="6"/>
      <c r="E12" s="6"/>
    </row>
    <row r="13" customFormat="false" ht="15" hidden="false" customHeight="false" outlineLevel="0" collapsed="false">
      <c r="B13" s="7" t="s">
        <v>46</v>
      </c>
      <c r="C13" s="8" t="n">
        <v>32768</v>
      </c>
      <c r="D13" s="7" t="s">
        <v>47</v>
      </c>
      <c r="E13" s="9" t="s">
        <v>48</v>
      </c>
    </row>
    <row r="14" customFormat="false" ht="15" hidden="false" customHeight="false" outlineLevel="0" collapsed="false">
      <c r="B14" s="7" t="s">
        <v>49</v>
      </c>
      <c r="C14" s="8" t="n">
        <v>16</v>
      </c>
      <c r="D14" s="7" t="s">
        <v>29</v>
      </c>
      <c r="E14" s="9" t="s">
        <v>50</v>
      </c>
    </row>
    <row r="15" customFormat="false" ht="15" hidden="false" customHeight="false" outlineLevel="0" collapsed="false">
      <c r="B15" s="7" t="s">
        <v>51</v>
      </c>
      <c r="C15" s="8" t="n">
        <v>30</v>
      </c>
      <c r="D15" s="7" t="s">
        <v>52</v>
      </c>
      <c r="E15" s="9" t="s">
        <v>53</v>
      </c>
    </row>
    <row r="16" customFormat="false" ht="15" hidden="false" customHeight="false" outlineLevel="0" collapsed="false">
      <c r="B16" s="5" t="s">
        <v>54</v>
      </c>
      <c r="C16" s="6"/>
      <c r="D16" s="6"/>
      <c r="E16" s="6"/>
    </row>
    <row r="17" customFormat="false" ht="15" hidden="false" customHeight="false" outlineLevel="0" collapsed="false">
      <c r="B17" s="7" t="s">
        <v>55</v>
      </c>
      <c r="C17" s="8" t="n">
        <v>80</v>
      </c>
      <c r="D17" s="7" t="s">
        <v>52</v>
      </c>
      <c r="E17" s="9" t="s">
        <v>56</v>
      </c>
    </row>
    <row r="18" customFormat="false" ht="15" hidden="false" customHeight="false" outlineLevel="0" collapsed="false">
      <c r="B18" s="7" t="s">
        <v>57</v>
      </c>
      <c r="C18" s="8" t="n">
        <v>0.9</v>
      </c>
      <c r="D18" s="7" t="s">
        <v>58</v>
      </c>
      <c r="E18" s="9" t="s">
        <v>59</v>
      </c>
    </row>
    <row r="19" customFormat="false" ht="15" hidden="false" customHeight="false" outlineLevel="0" collapsed="false">
      <c r="B19" s="7" t="s">
        <v>60</v>
      </c>
      <c r="C19" s="8" t="n">
        <v>3350</v>
      </c>
      <c r="D19" s="7" t="s">
        <v>61</v>
      </c>
      <c r="E19" s="9" t="s">
        <v>62</v>
      </c>
    </row>
    <row r="20" customFormat="false" ht="15" hidden="false" customHeight="false" outlineLevel="0" collapsed="false">
      <c r="B20" s="7" t="s">
        <v>63</v>
      </c>
      <c r="C20" s="8" t="n">
        <v>0.2</v>
      </c>
      <c r="D20" s="7" t="s">
        <v>58</v>
      </c>
      <c r="E20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5" hidden="false" customHeight="false" outlineLevel="0" collapsed="false">
      <c r="B1" s="4" t="s">
        <v>65</v>
      </c>
      <c r="C1" s="4" t="s">
        <v>18</v>
      </c>
      <c r="D1" s="4" t="s">
        <v>19</v>
      </c>
      <c r="E1" s="4" t="s">
        <v>66</v>
      </c>
    </row>
    <row r="2" customFormat="false" ht="15" hidden="false" customHeight="false" outlineLevel="0" collapsed="false">
      <c r="B2" s="7" t="s">
        <v>67</v>
      </c>
      <c r="C2" s="10" t="n">
        <f aca="false">Inputs!$C$3*Inputs!$C$9*Inputs!$C$10</f>
        <v>892.8</v>
      </c>
      <c r="D2" s="7" t="s">
        <v>52</v>
      </c>
      <c r="E2" s="9" t="s">
        <v>68</v>
      </c>
    </row>
    <row r="3" customFormat="false" ht="15" hidden="false" customHeight="false" outlineLevel="0" collapsed="false">
      <c r="B3" s="7" t="s">
        <v>69</v>
      </c>
      <c r="C3" s="10" t="n">
        <f aca="false">2*Inputs!$C$5*Inputs!$C$6*Inputs!$C$7*Inputs!$C$11/1000000000</f>
        <v>0.000376832</v>
      </c>
      <c r="D3" s="7" t="s">
        <v>70</v>
      </c>
      <c r="E3" s="9" t="s">
        <v>71</v>
      </c>
    </row>
    <row r="4" customFormat="false" ht="15" hidden="false" customHeight="false" outlineLevel="0" collapsed="false">
      <c r="B4" s="7" t="s">
        <v>72</v>
      </c>
      <c r="C4" s="10" t="n">
        <f aca="false">C3*Inputs!$C$13</f>
        <v>12.348030976</v>
      </c>
      <c r="D4" s="7" t="s">
        <v>73</v>
      </c>
      <c r="E4" s="9" t="s">
        <v>74</v>
      </c>
    </row>
    <row r="5" customFormat="false" ht="15" hidden="false" customHeight="false" outlineLevel="0" collapsed="false">
      <c r="B5" s="7" t="s">
        <v>75</v>
      </c>
      <c r="C5" s="10" t="n">
        <f aca="false">C4*Inputs!$C$14</f>
        <v>197.568495616</v>
      </c>
      <c r="D5" s="7" t="s">
        <v>52</v>
      </c>
      <c r="E5" s="9" t="s">
        <v>76</v>
      </c>
    </row>
    <row r="6" customFormat="false" ht="15" hidden="false" customHeight="false" outlineLevel="0" collapsed="false">
      <c r="B6" s="7" t="s">
        <v>51</v>
      </c>
      <c r="C6" s="10" t="n">
        <f aca="false">Inputs!$C$15</f>
        <v>30</v>
      </c>
      <c r="D6" s="7" t="s">
        <v>52</v>
      </c>
      <c r="E6" s="9" t="s">
        <v>77</v>
      </c>
    </row>
    <row r="7" customFormat="false" ht="15" hidden="false" customHeight="false" outlineLevel="0" collapsed="false">
      <c r="B7" s="5" t="s">
        <v>78</v>
      </c>
      <c r="C7" s="11" t="n">
        <f aca="false">C2+C5+C6</f>
        <v>1120.368495616</v>
      </c>
      <c r="D7" s="12" t="s">
        <v>52</v>
      </c>
      <c r="E7" s="9" t="s">
        <v>79</v>
      </c>
    </row>
    <row r="8" customFormat="false" ht="15" hidden="false" customHeight="false" outlineLevel="0" collapsed="false">
      <c r="B8" s="7" t="s">
        <v>80</v>
      </c>
      <c r="C8" s="10" t="n">
        <f aca="false">Inputs!$C$17*Inputs!$C$18</f>
        <v>72</v>
      </c>
      <c r="D8" s="7" t="s">
        <v>52</v>
      </c>
      <c r="E8" s="9" t="s">
        <v>81</v>
      </c>
    </row>
    <row r="9" customFormat="false" ht="15" hidden="false" customHeight="false" outlineLevel="0" collapsed="false">
      <c r="B9" s="5" t="s">
        <v>82</v>
      </c>
      <c r="C9" s="11" t="n">
        <f aca="false">ROUNDUP(C7/C8,0)</f>
        <v>16</v>
      </c>
      <c r="D9" s="12" t="s">
        <v>83</v>
      </c>
      <c r="E9" s="9" t="s">
        <v>84</v>
      </c>
    </row>
    <row r="10" customFormat="false" ht="15" hidden="false" customHeight="false" outlineLevel="0" collapsed="false">
      <c r="B10" s="7" t="s">
        <v>85</v>
      </c>
      <c r="C10" s="10" t="n">
        <f aca="false">IF(C9&lt;=8,C9,8)</f>
        <v>8</v>
      </c>
      <c r="D10" s="7" t="s">
        <v>86</v>
      </c>
      <c r="E10" s="9" t="s">
        <v>87</v>
      </c>
    </row>
    <row r="11" customFormat="false" ht="15" hidden="false" customHeight="false" outlineLevel="0" collapsed="false">
      <c r="B11" s="13" t="s">
        <v>88</v>
      </c>
      <c r="C11" s="10" t="n">
        <f aca="false">ROUNDUP(C9/8,0)</f>
        <v>2</v>
      </c>
      <c r="D11" s="7" t="s">
        <v>89</v>
      </c>
      <c r="E11" s="9" t="s">
        <v>90</v>
      </c>
    </row>
    <row r="13" customFormat="false" ht="15" hidden="false" customHeight="false" outlineLevel="0" collapsed="false">
      <c r="B13" s="1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16"/>
  </cols>
  <sheetData>
    <row r="1" customFormat="false" ht="15" hidden="false" customHeight="false" outlineLevel="0" collapsed="false">
      <c r="B1" s="3" t="s">
        <v>92</v>
      </c>
    </row>
    <row r="2" customFormat="false" ht="26.85" hidden="false" customHeight="false" outlineLevel="0" collapsed="false">
      <c r="B2" s="4" t="s">
        <v>93</v>
      </c>
      <c r="C2" s="4" t="s">
        <v>94</v>
      </c>
      <c r="D2" s="4" t="s">
        <v>95</v>
      </c>
      <c r="E2" s="4" t="s">
        <v>96</v>
      </c>
      <c r="F2" s="4" t="s">
        <v>97</v>
      </c>
      <c r="G2" s="4" t="s">
        <v>98</v>
      </c>
    </row>
    <row r="3" customFormat="false" ht="15" hidden="false" customHeight="false" outlineLevel="0" collapsed="false">
      <c r="B3" s="7" t="s">
        <v>99</v>
      </c>
      <c r="C3" s="8" t="n">
        <v>2</v>
      </c>
      <c r="D3" s="8" t="n">
        <v>1.05</v>
      </c>
      <c r="E3" s="15" t="n">
        <f aca="false">Inputs!$C$3*C3*D3</f>
        <v>1562.4</v>
      </c>
      <c r="F3" s="7" t="n">
        <f aca="false">ROUNDUP(E3/(80*0.9),0)</f>
        <v>22</v>
      </c>
      <c r="G3" s="7" t="n">
        <f aca="false">ROUNDUP(E3/(141*0.9),0)</f>
        <v>13</v>
      </c>
    </row>
    <row r="4" customFormat="false" ht="15" hidden="false" customHeight="false" outlineLevel="0" collapsed="false">
      <c r="B4" s="7" t="s">
        <v>100</v>
      </c>
      <c r="C4" s="8" t="n">
        <v>1</v>
      </c>
      <c r="D4" s="8" t="n">
        <v>1.2</v>
      </c>
      <c r="E4" s="15" t="n">
        <f aca="false">Inputs!$C$3*C4*D4</f>
        <v>892.8</v>
      </c>
      <c r="F4" s="7" t="n">
        <f aca="false">ROUNDUP(E4/(80*0.9),0)</f>
        <v>13</v>
      </c>
      <c r="G4" s="7" t="n">
        <f aca="false">ROUNDUP(E4/(141*0.9),0)</f>
        <v>8</v>
      </c>
    </row>
    <row r="5" customFormat="false" ht="15" hidden="false" customHeight="false" outlineLevel="0" collapsed="false">
      <c r="B5" s="7" t="s">
        <v>101</v>
      </c>
      <c r="C5" s="8" t="n">
        <v>0.5</v>
      </c>
      <c r="D5" s="8" t="n">
        <v>1.28</v>
      </c>
      <c r="E5" s="15" t="n">
        <f aca="false">Inputs!$C$3*C5*D5</f>
        <v>476.16</v>
      </c>
      <c r="F5" s="7" t="n">
        <f aca="false">ROUNDUP(E5/(80*0.9),0)</f>
        <v>7</v>
      </c>
      <c r="G5" s="7" t="n">
        <f aca="false">ROUNDUP(E5/(141*0.9),0)</f>
        <v>4</v>
      </c>
    </row>
    <row r="6" customFormat="false" ht="15" hidden="false" customHeight="false" outlineLevel="0" collapsed="false">
      <c r="B6" s="7" t="s">
        <v>102</v>
      </c>
      <c r="C6" s="8" t="n">
        <v>0.28</v>
      </c>
      <c r="D6" s="8" t="n">
        <v>1.15</v>
      </c>
      <c r="E6" s="15" t="n">
        <f aca="false">Inputs!$C$3*C6*D6</f>
        <v>239.568</v>
      </c>
      <c r="F6" s="7" t="n">
        <f aca="false">ROUNDUP(E6/(80*0.9),0)</f>
        <v>4</v>
      </c>
      <c r="G6" s="7" t="n">
        <f aca="false">ROUNDUP(E6/(141*0.9),0)</f>
        <v>2</v>
      </c>
    </row>
    <row r="8" customFormat="false" ht="15" hidden="false" customHeight="false" outlineLevel="0" collapsed="false">
      <c r="B8" s="14" t="s">
        <v>103</v>
      </c>
    </row>
    <row r="9" customFormat="false" ht="15" hidden="false" customHeight="false" outlineLevel="0" collapsed="false">
      <c r="B9" s="14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58"/>
  </cols>
  <sheetData>
    <row r="1" customFormat="false" ht="15" hidden="false" customHeight="false" outlineLevel="0" collapsed="false">
      <c r="B1" s="4" t="s">
        <v>105</v>
      </c>
      <c r="C1" s="4" t="s">
        <v>18</v>
      </c>
      <c r="D1" s="4" t="s">
        <v>19</v>
      </c>
      <c r="E1" s="4" t="s">
        <v>106</v>
      </c>
    </row>
    <row r="2" customFormat="false" ht="15" hidden="false" customHeight="false" outlineLevel="0" collapsed="false">
      <c r="B2" s="7" t="s">
        <v>107</v>
      </c>
      <c r="C2" s="10" t="n">
        <f aca="false">Inputs!$C$4*Inputs!$C$9</f>
        <v>40</v>
      </c>
      <c r="D2" s="7" t="s">
        <v>70</v>
      </c>
      <c r="E2" s="9" t="s">
        <v>108</v>
      </c>
    </row>
    <row r="3" customFormat="false" ht="15" hidden="false" customHeight="false" outlineLevel="0" collapsed="false">
      <c r="B3" s="7" t="s">
        <v>109</v>
      </c>
      <c r="C3" s="10" t="n">
        <f aca="false">Inputs!$C$19*Sizing!C9*Inputs!$C$20</f>
        <v>10720</v>
      </c>
      <c r="D3" s="7" t="s">
        <v>61</v>
      </c>
      <c r="E3" s="9" t="s">
        <v>110</v>
      </c>
    </row>
    <row r="4" customFormat="false" ht="15" hidden="false" customHeight="false" outlineLevel="0" collapsed="false">
      <c r="B4" s="7" t="s">
        <v>111</v>
      </c>
      <c r="C4" s="10" t="n">
        <f aca="false">C3/C2</f>
        <v>268</v>
      </c>
      <c r="D4" s="7" t="s">
        <v>112</v>
      </c>
      <c r="E4" s="9" t="s">
        <v>113</v>
      </c>
    </row>
    <row r="5" customFormat="false" ht="15" hidden="false" customHeight="false" outlineLevel="0" collapsed="false">
      <c r="B5" s="7" t="s">
        <v>114</v>
      </c>
      <c r="C5" s="10" t="n">
        <f aca="false">C4/Inputs!$C$14</f>
        <v>16.75</v>
      </c>
      <c r="D5" s="7" t="s">
        <v>115</v>
      </c>
      <c r="E5" s="9" t="s">
        <v>116</v>
      </c>
    </row>
    <row r="6" customFormat="false" ht="15" hidden="false" customHeight="false" outlineLevel="0" collapsed="false">
      <c r="B6" s="7" t="s">
        <v>117</v>
      </c>
      <c r="C6" s="10" t="n">
        <f aca="false">1000/C5</f>
        <v>59.7014925373134</v>
      </c>
      <c r="D6" s="7" t="s">
        <v>118</v>
      </c>
      <c r="E6" s="9" t="s">
        <v>119</v>
      </c>
    </row>
    <row r="8" customFormat="false" ht="15" hidden="false" customHeight="false" outlineLevel="0" collapsed="false">
      <c r="B8" s="1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2026-07-21T02:58:10Z</dcterms:created>
  <dc:creator>openpyxl</dc:creator>
  <dc:description/>
  <dc:language>en-US</dc:language>
  <cp:lastModifiedBy/>
  <dcterms:modified xsi:type="dcterms:W3CDTF">2026-07-21T02:58:10Z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